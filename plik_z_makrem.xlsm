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228" codeName="{144559BF-596A-2B24-0A50-F0D1D4C42CD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Makro_enko\"/>
    </mc:Choice>
  </mc:AlternateContent>
  <xr:revisionPtr revIDLastSave="0" documentId="13_ncr:1_{843199D7-EB88-42C7-818C-98F061611F3D}" xr6:coauthVersionLast="45" xr6:coauthVersionMax="45" xr10:uidLastSave="{00000000-0000-0000-0000-000000000000}"/>
  <bookViews>
    <workbookView xWindow="-120" yWindow="-120" windowWidth="19440" windowHeight="11640" tabRatio="500" xr2:uid="{00000000-000D-0000-FFFF-FFFF00000000}"/>
  </bookViews>
  <sheets>
    <sheet name="Arkusz1" sheetId="1" r:id="rId1"/>
    <sheet name="Arkusz2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loext="http://schemas.libreoffice.org/" uri="{7626C862-2A13-11E5-B345-FEFF819CDC9F}">
      <loext:extCalcPr stringRefSyntax="CalcA1ExcelA1"/>
    </ext>
  </extLst>
</workbook>
</file>

<file path=xl/calcChain.xml><?xml version="1.0" encoding="utf-8"?>
<calcChain xmlns="http://schemas.openxmlformats.org/spreadsheetml/2006/main">
  <c r="K16" i="1" l="1"/>
  <c r="M16" i="1"/>
  <c r="K5" i="1" l="1"/>
  <c r="K6" i="1"/>
  <c r="K8" i="1"/>
  <c r="K9" i="1"/>
  <c r="K10" i="1"/>
  <c r="K11" i="1"/>
  <c r="K12" i="1"/>
  <c r="K13" i="1"/>
  <c r="K14" i="1"/>
  <c r="K15" i="1"/>
  <c r="M9" i="1"/>
  <c r="M8" i="1"/>
  <c r="M7" i="1"/>
  <c r="M6" i="1"/>
  <c r="M5" i="1"/>
  <c r="M4" i="1"/>
  <c r="M3" i="1"/>
  <c r="M15" i="1"/>
  <c r="M14" i="1"/>
  <c r="M13" i="1"/>
  <c r="M12" i="1"/>
  <c r="M11" i="1"/>
  <c r="M10" i="1"/>
  <c r="K4" i="1"/>
  <c r="C83" i="1"/>
</calcChain>
</file>

<file path=xl/sharedStrings.xml><?xml version="1.0" encoding="utf-8"?>
<sst xmlns="http://schemas.openxmlformats.org/spreadsheetml/2006/main" count="115" uniqueCount="46">
  <si>
    <t>Obiekt</t>
  </si>
  <si>
    <t>uwagi</t>
  </si>
  <si>
    <t>Czy wgrane</t>
  </si>
  <si>
    <t>Czy sprawdzone</t>
  </si>
  <si>
    <t>tak</t>
  </si>
  <si>
    <t>Kszczonowice</t>
  </si>
  <si>
    <t>Podgórze</t>
  </si>
  <si>
    <t>Ruszkowiec</t>
  </si>
  <si>
    <t>Wojnowice</t>
  </si>
  <si>
    <t>Grójec</t>
  </si>
  <si>
    <t>Glinka</t>
  </si>
  <si>
    <t>Miejsocwość</t>
  </si>
  <si>
    <t>Ilość I</t>
  </si>
  <si>
    <t>Ilość II</t>
  </si>
  <si>
    <t>Wektor</t>
  </si>
  <si>
    <t>Pobrał w teren</t>
  </si>
  <si>
    <t>BRZEŚCIE</t>
  </si>
  <si>
    <t>260204_2.0011</t>
  </si>
  <si>
    <t>REJOWIEC</t>
  </si>
  <si>
    <t>260202_5.0024</t>
  </si>
  <si>
    <t>PODLASZCZE</t>
  </si>
  <si>
    <t>260206_4.0002</t>
  </si>
  <si>
    <t>Sędziszów</t>
  </si>
  <si>
    <t>260202_5.0030</t>
  </si>
  <si>
    <t>RAKÓW</t>
  </si>
  <si>
    <t>260204_2.0015</t>
  </si>
  <si>
    <t>WARZYN PIERWSZY</t>
  </si>
  <si>
    <t>260204_2.0008</t>
  </si>
  <si>
    <t>NAGŁOWICE</t>
  </si>
  <si>
    <t>nie</t>
  </si>
  <si>
    <t>Patrycja</t>
  </si>
  <si>
    <t>260204_2.999</t>
  </si>
  <si>
    <t>Lista 1</t>
  </si>
  <si>
    <t>Lista 2</t>
  </si>
  <si>
    <t>uwagi II</t>
  </si>
  <si>
    <t>osoba_b</t>
  </si>
  <si>
    <t>osoba_g</t>
  </si>
  <si>
    <t>osoba_e</t>
  </si>
  <si>
    <t>aaa</t>
  </si>
  <si>
    <t>bbb</t>
  </si>
  <si>
    <t>ccc</t>
  </si>
  <si>
    <t>ddd</t>
  </si>
  <si>
    <t>eee</t>
  </si>
  <si>
    <t>osoba_i</t>
  </si>
  <si>
    <t>Adamczowice</t>
  </si>
  <si>
    <t>Obreb_teryt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</si>
</sst>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0"/>
      <name val="Arial"/>
      <family val="2"/>
      <charset val="238"/>
    </font>
    <font>
      <sz val="10"/>
      <color rgb="FF000000"/>
      <name val="Mangal"/>
      <family val="2"/>
      <charset val="238"/>
    </font>
    <font>
      <b/>
      <sz val="16"/>
      <color rgb="FF000000"/>
      <name val="Calibri"/>
      <family val="2"/>
      <charset val="238"/>
    </font>
    <font>
      <b/>
      <sz val="12"/>
      <color rgb="FF000000"/>
      <name val="Calibri"/>
      <family val="2"/>
      <charset val="238"/>
    </font>
    <font>
      <b/>
      <sz val="12"/>
      <name val="Arial"/>
      <family val="2"/>
      <charset val="238"/>
    </font>
    <font>
      <sz val="11"/>
      <color rgb="FF000000"/>
      <name val="Calibri"/>
      <family val="2"/>
      <charset val="238"/>
    </font>
    <font>
      <b/>
      <sz val="13"/>
      <name val="Arial"/>
      <family val="2"/>
      <charset val="238"/>
    </font>
    <font>
      <b/>
      <sz val="11"/>
      <color rgb="FF000000"/>
      <name val="Calibri"/>
      <family val="2"/>
      <charset val="238"/>
    </font>
    <font>
      <sz val="11"/>
      <color theme="1"/>
      <name val="Calibri"/>
      <family val="2"/>
      <charset val="238"/>
    </font>
    <font>
      <sz val="11"/>
      <color theme="1"/>
      <name val="Czcionka tekstu podstawowego"/>
      <charset val="238"/>
    </font>
    <font>
      <sz val="11"/>
      <color theme="1"/>
      <name val="Arial"/>
      <family val="2"/>
      <charset val="238"/>
    </font>
    <font>
      <b/>
      <sz val="14"/>
      <name val="Arial"/>
      <family val="2"/>
      <charset val="238"/>
    </font>
    <font>
      <sz val="9"/>
      <color rgb="FF000000"/>
      <name val="Arial"/>
      <family val="2"/>
      <charset val="238"/>
    </font>
    <font>
      <sz val="10"/>
      <color rgb="FF000000"/>
      <name val="Arial"/>
      <family val="2"/>
      <charset val="238"/>
    </font>
  </fonts>
  <fills count="9">
    <fill>
      <patternFill patternType="none"/>
    </fill>
    <fill>
      <patternFill patternType="gray125"/>
    </fill>
    <fill>
      <patternFill patternType="solid">
        <fgColor rgb="FFDDDDDD"/>
        <bgColor rgb="FFE0EFD4"/>
      </patternFill>
    </fill>
    <fill>
      <patternFill patternType="solid">
        <fgColor rgb="FFCCCCCC"/>
        <bgColor rgb="FFDDDDDD"/>
      </patternFill>
    </fill>
    <fill>
      <patternFill patternType="solid">
        <fgColor rgb="FFD9D9D9"/>
        <bgColor rgb="FFDDDDDD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0" fontId="1" fillId="2" borderId="0" applyBorder="0" applyAlignment="0" applyProtection="0"/>
  </cellStyleXfs>
  <cellXfs count="73">
    <xf numFmtId="0" fontId="0" fillId="0" borderId="0" xfId="0"/>
    <xf numFmtId="0" fontId="3" fillId="3" borderId="1" xfId="0" applyFont="1" applyFill="1" applyBorder="1" applyAlignment="1">
      <alignment horizontal="center" vertical="center"/>
    </xf>
    <xf numFmtId="0" fontId="0" fillId="0" borderId="1" xfId="0" applyBorder="1"/>
    <xf numFmtId="0" fontId="5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0" fillId="0" borderId="1" xfId="0" applyFill="1" applyBorder="1"/>
    <xf numFmtId="0" fontId="8" fillId="0" borderId="1" xfId="0" applyFont="1" applyFill="1" applyBorder="1" applyAlignment="1">
      <alignment horizontal="left" vertical="center" wrapText="1"/>
    </xf>
    <xf numFmtId="0" fontId="0" fillId="0" borderId="1" xfId="0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4" borderId="1" xfId="0" applyFont="1" applyFill="1" applyBorder="1" applyAlignment="1">
      <alignment horizontal="center" vertical="center" wrapText="1"/>
    </xf>
    <xf numFmtId="0" fontId="0" fillId="0" borderId="2" xfId="0" applyFill="1" applyBorder="1"/>
    <xf numFmtId="0" fontId="0" fillId="0" borderId="0" xfId="0" applyFill="1"/>
    <xf numFmtId="0" fontId="8" fillId="0" borderId="2" xfId="0" applyFont="1" applyFill="1" applyBorder="1" applyAlignment="1">
      <alignment horizontal="left" vertical="center" wrapText="1"/>
    </xf>
    <xf numFmtId="0" fontId="0" fillId="0" borderId="0" xfId="0" applyAlignment="1">
      <alignment horizontal="center" vertical="center"/>
    </xf>
    <xf numFmtId="0" fontId="9" fillId="5" borderId="1" xfId="0" applyFont="1" applyFill="1" applyBorder="1"/>
    <xf numFmtId="0" fontId="8" fillId="5" borderId="1" xfId="0" applyFont="1" applyFill="1" applyBorder="1" applyAlignment="1">
      <alignment horizontal="left" vertical="center" wrapText="1"/>
    </xf>
    <xf numFmtId="0" fontId="8" fillId="5" borderId="1" xfId="0" applyFont="1" applyFill="1" applyBorder="1" applyAlignment="1">
      <alignment horizontal="center"/>
    </xf>
    <xf numFmtId="0" fontId="5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0" xfId="0" applyFill="1"/>
    <xf numFmtId="0" fontId="0" fillId="5" borderId="1" xfId="0" applyFill="1" applyBorder="1"/>
    <xf numFmtId="0" fontId="8" fillId="5" borderId="1" xfId="0" applyFont="1" applyFill="1" applyBorder="1" applyAlignment="1">
      <alignment horizontal="left"/>
    </xf>
    <xf numFmtId="0" fontId="10" fillId="5" borderId="1" xfId="0" applyFont="1" applyFill="1" applyBorder="1" applyAlignment="1"/>
    <xf numFmtId="0" fontId="8" fillId="5" borderId="1" xfId="0" applyFont="1" applyFill="1" applyBorder="1" applyAlignment="1">
      <alignment horizontal="center" vertical="center"/>
    </xf>
    <xf numFmtId="0" fontId="0" fillId="5" borderId="1" xfId="0" applyFont="1" applyFill="1" applyBorder="1"/>
    <xf numFmtId="0" fontId="0" fillId="5" borderId="3" xfId="0" applyFill="1" applyBorder="1"/>
    <xf numFmtId="0" fontId="8" fillId="5" borderId="3" xfId="0" applyFont="1" applyFill="1" applyBorder="1" applyAlignment="1">
      <alignment horizontal="left"/>
    </xf>
    <xf numFmtId="0" fontId="9" fillId="5" borderId="3" xfId="0" applyFont="1" applyFill="1" applyBorder="1"/>
    <xf numFmtId="0" fontId="10" fillId="5" borderId="3" xfId="0" applyFont="1" applyFill="1" applyBorder="1" applyAlignment="1"/>
    <xf numFmtId="0" fontId="8" fillId="5" borderId="3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left" vertical="center" wrapText="1"/>
    </xf>
    <xf numFmtId="0" fontId="8" fillId="5" borderId="3" xfId="0" applyFont="1" applyFill="1" applyBorder="1" applyAlignment="1">
      <alignment horizontal="center"/>
    </xf>
    <xf numFmtId="0" fontId="0" fillId="5" borderId="3" xfId="0" applyFill="1" applyBorder="1" applyAlignment="1">
      <alignment horizontal="center" vertical="center"/>
    </xf>
    <xf numFmtId="0" fontId="5" fillId="5" borderId="3" xfId="0" applyFont="1" applyFill="1" applyBorder="1" applyAlignment="1">
      <alignment horizontal="center" vertical="center"/>
    </xf>
    <xf numFmtId="0" fontId="0" fillId="5" borderId="4" xfId="0" applyFill="1" applyBorder="1"/>
    <xf numFmtId="0" fontId="11" fillId="6" borderId="2" xfId="0" applyFont="1" applyFill="1" applyBorder="1"/>
    <xf numFmtId="0" fontId="0" fillId="6" borderId="2" xfId="0" applyFill="1" applyBorder="1"/>
    <xf numFmtId="0" fontId="0" fillId="6" borderId="2" xfId="0" applyFont="1" applyFill="1" applyBorder="1"/>
    <xf numFmtId="0" fontId="5" fillId="6" borderId="2" xfId="0" applyFont="1" applyFill="1" applyBorder="1" applyAlignment="1">
      <alignment horizontal="center" vertical="center"/>
    </xf>
    <xf numFmtId="0" fontId="8" fillId="6" borderId="2" xfId="0" applyFont="1" applyFill="1" applyBorder="1" applyAlignment="1">
      <alignment horizontal="left" vertical="center" wrapText="1"/>
    </xf>
    <xf numFmtId="0" fontId="0" fillId="6" borderId="2" xfId="0" applyFill="1" applyBorder="1" applyAlignment="1">
      <alignment horizontal="center" vertical="center"/>
    </xf>
    <xf numFmtId="0" fontId="0" fillId="6" borderId="0" xfId="0" applyFill="1"/>
    <xf numFmtId="0" fontId="0" fillId="6" borderId="1" xfId="0" applyFill="1" applyBorder="1"/>
    <xf numFmtId="0" fontId="0" fillId="6" borderId="1" xfId="0" applyFont="1" applyFill="1" applyBorder="1"/>
    <xf numFmtId="0" fontId="5" fillId="6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left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1" xfId="0" applyFont="1" applyFill="1" applyBorder="1" applyAlignment="1">
      <alignment readingOrder="1"/>
    </xf>
    <xf numFmtId="0" fontId="8" fillId="6" borderId="1" xfId="0" applyFont="1" applyFill="1" applyBorder="1" applyAlignment="1">
      <alignment horizontal="center"/>
    </xf>
    <xf numFmtId="0" fontId="8" fillId="6" borderId="3" xfId="0" applyFont="1" applyFill="1" applyBorder="1" applyAlignment="1">
      <alignment horizontal="center"/>
    </xf>
    <xf numFmtId="0" fontId="0" fillId="0" borderId="2" xfId="0" applyBorder="1"/>
    <xf numFmtId="0" fontId="0" fillId="6" borderId="3" xfId="0" applyFill="1" applyBorder="1"/>
    <xf numFmtId="0" fontId="9" fillId="7" borderId="3" xfId="0" applyFont="1" applyFill="1" applyBorder="1"/>
    <xf numFmtId="0" fontId="10" fillId="7" borderId="3" xfId="0" applyFont="1" applyFill="1" applyBorder="1" applyAlignment="1">
      <alignment wrapText="1"/>
    </xf>
    <xf numFmtId="0" fontId="5" fillId="6" borderId="3" xfId="0" applyFont="1" applyFill="1" applyBorder="1" applyAlignment="1">
      <alignment horizontal="center" vertical="center"/>
    </xf>
    <xf numFmtId="0" fontId="8" fillId="6" borderId="3" xfId="0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/>
    <xf numFmtId="0" fontId="0" fillId="8" borderId="1" xfId="0" applyFill="1" applyBorder="1" applyAlignment="1">
      <alignment horizontal="center" vertical="center"/>
    </xf>
    <xf numFmtId="0" fontId="0" fillId="8" borderId="0" xfId="0" applyFill="1"/>
    <xf numFmtId="0" fontId="7" fillId="3" borderId="1" xfId="0" applyFont="1" applyFill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/>
    </xf>
    <xf numFmtId="0" fontId="11" fillId="5" borderId="1" xfId="0" applyFont="1" applyFill="1" applyBorder="1"/>
    <xf numFmtId="0" fontId="10" fillId="5" borderId="1" xfId="0" applyFont="1" applyFill="1" applyBorder="1" applyAlignment="1">
      <alignment wrapText="1"/>
    </xf>
    <xf numFmtId="0" fontId="8" fillId="5" borderId="1" xfId="0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center"/>
    </xf>
  </cellXfs>
  <cellStyles count="2">
    <cellStyle name="Normalny" xfId="0" builtinId="0"/>
    <cellStyle name="Tekst objaśnienia" xfId="1" builtinId="53" customBuiltin="1"/>
  </cellStyles>
  <dxfs count="0"/>
  <tableStyles count="0" defaultTableStyle="TableStyleMedium9" defaultPivotStyle="PivotStyleLight16"/>
  <colors>
    <indexedColors>
      <rgbColor rgb="FF000000"/>
      <rgbColor rgb="FFFFFFFF"/>
      <rgbColor rgb="FFFF0000"/>
      <rgbColor rgb="FF00FF00"/>
      <rgbColor rgb="FF0000FF"/>
      <rgbColor rgb="FFFFF200"/>
      <rgbColor rgb="FFFF00FF"/>
      <rgbColor rgb="FF00FFFF"/>
      <rgbColor rgb="FFCC0000"/>
      <rgbColor rgb="FF006600"/>
      <rgbColor rgb="FF000080"/>
      <rgbColor rgb="FF996600"/>
      <rgbColor rgb="FF800080"/>
      <rgbColor rgb="FF008080"/>
      <rgbColor rgb="FFCCCCCC"/>
      <rgbColor rgb="FF808080"/>
      <rgbColor rgb="FF9999FF"/>
      <rgbColor rgb="FF993366"/>
      <rgbColor rgb="FFFFFFCC"/>
      <rgbColor rgb="FFE0EFD4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CD4D1"/>
      <rgbColor rgb="FFCCFFCC"/>
      <rgbColor rgb="FFFFF450"/>
      <rgbColor rgb="FF99CCFF"/>
      <rgbColor rgb="FFFF99CC"/>
      <rgbColor rgb="FFBCAED5"/>
      <rgbColor rgb="FFFFCCCC"/>
      <rgbColor rgb="FF3366FF"/>
      <rgbColor rgb="FF33CCCC"/>
      <rgbColor rgb="FF92D050"/>
      <rgbColor rgb="FFFFCC00"/>
      <rgbColor rgb="FFFF9900"/>
      <rgbColor rgb="FFFF6600"/>
      <rgbColor rgb="FF666699"/>
      <rgbColor rgb="FF72BF44"/>
      <rgbColor rgb="FF003366"/>
      <rgbColor rgb="FF62A73B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</xdr:row>
          <xdr:rowOff>47625</xdr:rowOff>
        </xdr:from>
        <xdr:to>
          <xdr:col>15</xdr:col>
          <xdr:colOff>752475</xdr:colOff>
          <xdr:row>2</xdr:row>
          <xdr:rowOff>238125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twarde brak</a:t>
              </a:r>
              <a:r>
                <a:rPr lang="pl-P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57150</xdr:colOff>
          <xdr:row>2</xdr:row>
          <xdr:rowOff>47625</xdr:rowOff>
        </xdr:from>
        <xdr:to>
          <xdr:col>14</xdr:col>
          <xdr:colOff>923925</xdr:colOff>
          <xdr:row>2</xdr:row>
          <xdr:rowOff>228600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miękkie braki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2</xdr:row>
          <xdr:rowOff>38100</xdr:rowOff>
        </xdr:from>
        <xdr:to>
          <xdr:col>13</xdr:col>
          <xdr:colOff>800100</xdr:colOff>
          <xdr:row>2</xdr:row>
          <xdr:rowOff>228600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zrobione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9</xdr:row>
          <xdr:rowOff>47625</xdr:rowOff>
        </xdr:from>
        <xdr:to>
          <xdr:col>15</xdr:col>
          <xdr:colOff>752475</xdr:colOff>
          <xdr:row>9</xdr:row>
          <xdr:rowOff>238125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twarde brak</a:t>
              </a:r>
              <a:r>
                <a:rPr lang="pl-P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57150</xdr:colOff>
          <xdr:row>9</xdr:row>
          <xdr:rowOff>47625</xdr:rowOff>
        </xdr:from>
        <xdr:to>
          <xdr:col>14</xdr:col>
          <xdr:colOff>923925</xdr:colOff>
          <xdr:row>9</xdr:row>
          <xdr:rowOff>228600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miękkie braki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9</xdr:row>
          <xdr:rowOff>38100</xdr:rowOff>
        </xdr:from>
        <xdr:to>
          <xdr:col>13</xdr:col>
          <xdr:colOff>800100</xdr:colOff>
          <xdr:row>9</xdr:row>
          <xdr:rowOff>228600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zrobione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W83"/>
  <sheetViews>
    <sheetView tabSelected="1" workbookViewId="0">
      <selection activeCell="G9" sqref="G9"/>
    </sheetView>
  </sheetViews>
  <sheetFormatPr defaultRowHeight="22.5" customHeight="1"/>
  <cols>
    <col min="2" max="2" width="14.28515625" bestFit="1" customWidth="1"/>
    <col min="3" max="3" width="19.140625" customWidth="1"/>
    <col min="4" max="4" width="8" customWidth="1"/>
    <col min="5" max="5" width="7.42578125" customWidth="1"/>
    <col min="6" max="6" width="15" hidden="1" customWidth="1"/>
    <col min="7" max="7" width="20.7109375" customWidth="1"/>
    <col min="8" max="8" width="27.85546875" customWidth="1"/>
    <col min="9" max="9" width="17.42578125" customWidth="1"/>
    <col min="10" max="10" width="6.5703125" customWidth="1"/>
    <col min="11" max="11" width="3.140625" style="20" customWidth="1"/>
    <col min="12" max="12" width="7" customWidth="1"/>
    <col min="13" max="13" width="3.28515625" customWidth="1"/>
    <col min="14" max="14" width="12.5703125" customWidth="1"/>
    <col min="15" max="15" width="14.5703125" customWidth="1"/>
    <col min="16" max="16" width="12.5703125" customWidth="1"/>
    <col min="17" max="17" width="12.85546875" customWidth="1"/>
    <col min="18" max="1026" width="11.5703125"/>
  </cols>
  <sheetData>
    <row r="1" spans="1:23" ht="27.75" customHeight="1">
      <c r="B1" s="68"/>
      <c r="C1" s="68"/>
      <c r="D1" s="68"/>
      <c r="E1" s="68"/>
      <c r="F1" s="68"/>
      <c r="G1" s="68"/>
      <c r="H1" s="68"/>
      <c r="I1" s="7"/>
    </row>
    <row r="2" spans="1:23" s="15" customFormat="1" ht="42.75" customHeight="1">
      <c r="A2" s="1" t="s">
        <v>0</v>
      </c>
      <c r="B2" s="16" t="s">
        <v>45</v>
      </c>
      <c r="C2" s="14" t="s">
        <v>11</v>
      </c>
      <c r="D2" s="14" t="s">
        <v>12</v>
      </c>
      <c r="E2" s="14" t="s">
        <v>13</v>
      </c>
      <c r="F2" s="14" t="s">
        <v>14</v>
      </c>
      <c r="G2" s="14" t="s">
        <v>15</v>
      </c>
      <c r="H2" s="14" t="s">
        <v>1</v>
      </c>
      <c r="I2" s="14" t="s">
        <v>34</v>
      </c>
      <c r="J2" s="67" t="s">
        <v>2</v>
      </c>
      <c r="K2" s="67"/>
      <c r="L2" s="67" t="s">
        <v>3</v>
      </c>
      <c r="M2" s="67"/>
    </row>
    <row r="3" spans="1:23" ht="22.5" customHeight="1">
      <c r="A3" s="69" t="s">
        <v>32</v>
      </c>
      <c r="B3" s="21" t="s">
        <v>31</v>
      </c>
      <c r="C3" s="21" t="s">
        <v>16</v>
      </c>
      <c r="D3" s="70">
        <v>29</v>
      </c>
      <c r="E3" s="71"/>
      <c r="F3" s="22" t="s">
        <v>30</v>
      </c>
      <c r="G3" s="23" t="s">
        <v>35</v>
      </c>
      <c r="H3" s="72"/>
      <c r="I3" s="72"/>
      <c r="J3" s="24" t="s">
        <v>29</v>
      </c>
      <c r="K3" s="25" t="s">
        <v>4</v>
      </c>
      <c r="L3" s="24" t="s">
        <v>4</v>
      </c>
      <c r="M3" s="65">
        <f>IF(L3="tak",1,0)</f>
        <v>1</v>
      </c>
      <c r="N3" s="66"/>
      <c r="O3" s="66"/>
      <c r="P3" s="66"/>
      <c r="Q3" s="66"/>
      <c r="R3" s="18"/>
      <c r="S3" s="18"/>
      <c r="T3" s="18"/>
      <c r="U3" s="18"/>
      <c r="W3" t="s">
        <v>4</v>
      </c>
    </row>
    <row r="4" spans="1:23" ht="22.5" customHeight="1">
      <c r="A4" s="27"/>
      <c r="B4" s="28" t="s">
        <v>17</v>
      </c>
      <c r="C4" s="21" t="s">
        <v>18</v>
      </c>
      <c r="D4" s="29">
        <v>38</v>
      </c>
      <c r="E4" s="30"/>
      <c r="F4" s="22" t="s">
        <v>30</v>
      </c>
      <c r="G4" s="23" t="s">
        <v>35</v>
      </c>
      <c r="H4" s="31" t="s">
        <v>38</v>
      </c>
      <c r="I4" s="25"/>
      <c r="J4" s="24" t="s">
        <v>4</v>
      </c>
      <c r="K4" s="25">
        <f t="shared" ref="K4:K15" si="0">IF(J4="tak",1,0)</f>
        <v>1</v>
      </c>
      <c r="L4" s="24" t="s">
        <v>29</v>
      </c>
      <c r="M4" s="25">
        <f t="shared" ref="M4:M9" si="1">IF(L4="tak",1,0)</f>
        <v>0</v>
      </c>
      <c r="N4" s="26"/>
      <c r="O4" s="26"/>
      <c r="P4" s="26"/>
      <c r="Q4" s="26"/>
      <c r="R4" s="18"/>
      <c r="S4" s="18"/>
      <c r="T4" s="18"/>
      <c r="U4" s="18"/>
    </row>
    <row r="5" spans="1:23" ht="22.5" customHeight="1">
      <c r="A5" s="27"/>
      <c r="B5" s="28" t="s">
        <v>19</v>
      </c>
      <c r="C5" s="21" t="s">
        <v>20</v>
      </c>
      <c r="D5" s="29">
        <v>82</v>
      </c>
      <c r="E5" s="30"/>
      <c r="F5" s="22" t="s">
        <v>30</v>
      </c>
      <c r="G5" s="23" t="s">
        <v>37</v>
      </c>
      <c r="H5" s="27"/>
      <c r="I5" s="25"/>
      <c r="J5" s="24" t="s">
        <v>29</v>
      </c>
      <c r="K5" s="25">
        <f t="shared" si="0"/>
        <v>0</v>
      </c>
      <c r="L5" s="24" t="s">
        <v>29</v>
      </c>
      <c r="M5" s="25">
        <f t="shared" si="1"/>
        <v>0</v>
      </c>
      <c r="N5" s="26"/>
      <c r="O5" s="26"/>
      <c r="P5" s="26"/>
      <c r="Q5" s="26"/>
      <c r="R5" s="18"/>
      <c r="S5" s="18"/>
      <c r="T5" s="18"/>
      <c r="U5" s="18"/>
    </row>
    <row r="6" spans="1:23" ht="22.5" customHeight="1">
      <c r="A6" s="27"/>
      <c r="B6" s="28" t="s">
        <v>21</v>
      </c>
      <c r="C6" s="21" t="s">
        <v>22</v>
      </c>
      <c r="D6" s="29">
        <v>111</v>
      </c>
      <c r="E6" s="30"/>
      <c r="F6" s="22" t="s">
        <v>30</v>
      </c>
      <c r="G6" s="23" t="s">
        <v>36</v>
      </c>
      <c r="H6" s="27"/>
      <c r="I6" s="25"/>
      <c r="J6" s="24" t="s">
        <v>29</v>
      </c>
      <c r="K6" s="25">
        <f t="shared" si="0"/>
        <v>0</v>
      </c>
      <c r="L6" s="24" t="s">
        <v>4</v>
      </c>
      <c r="M6" s="25">
        <f t="shared" si="1"/>
        <v>1</v>
      </c>
      <c r="N6" s="26"/>
      <c r="O6" s="26"/>
      <c r="P6" s="26"/>
      <c r="Q6" s="26"/>
      <c r="R6" s="18"/>
      <c r="S6" s="18"/>
      <c r="T6" s="18"/>
      <c r="U6" s="18"/>
    </row>
    <row r="7" spans="1:23" ht="22.5" customHeight="1">
      <c r="A7" s="27"/>
      <c r="B7" s="28" t="s">
        <v>23</v>
      </c>
      <c r="C7" s="21" t="s">
        <v>24</v>
      </c>
      <c r="D7" s="29">
        <v>198</v>
      </c>
      <c r="E7" s="30"/>
      <c r="F7" s="22" t="s">
        <v>30</v>
      </c>
      <c r="G7" s="23" t="s">
        <v>37</v>
      </c>
      <c r="H7" s="27"/>
      <c r="I7" s="25"/>
      <c r="J7" s="24" t="s">
        <v>29</v>
      </c>
      <c r="K7" s="25" t="s">
        <v>4</v>
      </c>
      <c r="L7" s="24" t="s">
        <v>29</v>
      </c>
      <c r="M7" s="25">
        <f t="shared" si="1"/>
        <v>0</v>
      </c>
      <c r="N7" s="26"/>
      <c r="O7" s="26"/>
      <c r="P7" s="26"/>
      <c r="Q7" s="26"/>
      <c r="R7" s="18"/>
      <c r="S7" s="18"/>
      <c r="T7" s="18"/>
      <c r="U7" s="18"/>
    </row>
    <row r="8" spans="1:23" ht="22.5" customHeight="1">
      <c r="A8" s="27"/>
      <c r="B8" s="28" t="s">
        <v>25</v>
      </c>
      <c r="C8" s="21" t="s">
        <v>26</v>
      </c>
      <c r="D8" s="29">
        <v>291</v>
      </c>
      <c r="E8" s="30"/>
      <c r="F8" s="22" t="s">
        <v>30</v>
      </c>
      <c r="G8" s="23" t="s">
        <v>43</v>
      </c>
      <c r="H8" s="27" t="s">
        <v>39</v>
      </c>
      <c r="I8" s="25" t="s">
        <v>40</v>
      </c>
      <c r="J8" s="24" t="s">
        <v>29</v>
      </c>
      <c r="K8" s="25">
        <f t="shared" si="0"/>
        <v>0</v>
      </c>
      <c r="L8" s="24" t="s">
        <v>29</v>
      </c>
      <c r="M8" s="25">
        <f t="shared" si="1"/>
        <v>0</v>
      </c>
      <c r="N8" s="26"/>
      <c r="O8" s="26"/>
      <c r="P8" s="26"/>
      <c r="Q8" s="26"/>
      <c r="R8" s="18"/>
      <c r="S8" s="18"/>
      <c r="T8" s="18"/>
      <c r="U8" s="18"/>
    </row>
    <row r="9" spans="1:23" ht="22.5" customHeight="1" thickBot="1">
      <c r="A9" s="32"/>
      <c r="B9" s="33" t="s">
        <v>27</v>
      </c>
      <c r="C9" s="34" t="s">
        <v>28</v>
      </c>
      <c r="D9" s="35">
        <v>325</v>
      </c>
      <c r="E9" s="36"/>
      <c r="F9" s="37" t="s">
        <v>30</v>
      </c>
      <c r="G9" s="38" t="s">
        <v>35</v>
      </c>
      <c r="H9" s="32"/>
      <c r="I9" s="39"/>
      <c r="J9" s="40" t="s">
        <v>29</v>
      </c>
      <c r="K9" s="39">
        <f t="shared" si="0"/>
        <v>0</v>
      </c>
      <c r="L9" s="40" t="s">
        <v>29</v>
      </c>
      <c r="M9" s="39">
        <f t="shared" si="1"/>
        <v>0</v>
      </c>
      <c r="N9" s="41"/>
      <c r="O9" s="41"/>
      <c r="P9" s="41"/>
      <c r="Q9" s="26"/>
      <c r="R9" s="18"/>
      <c r="S9" s="18"/>
      <c r="T9" s="18"/>
      <c r="U9" s="18"/>
    </row>
    <row r="10" spans="1:23" ht="22.5" customHeight="1">
      <c r="A10" s="42" t="s">
        <v>33</v>
      </c>
      <c r="B10" s="43">
        <v>10000</v>
      </c>
      <c r="C10" s="44" t="s">
        <v>5</v>
      </c>
      <c r="D10" s="44">
        <v>74</v>
      </c>
      <c r="E10" s="45"/>
      <c r="F10" s="46" t="s">
        <v>30</v>
      </c>
      <c r="G10" s="55" t="s">
        <v>35</v>
      </c>
      <c r="H10" s="44" t="s">
        <v>41</v>
      </c>
      <c r="I10" s="47"/>
      <c r="J10" s="45" t="s">
        <v>29</v>
      </c>
      <c r="K10" s="47">
        <f>IF(J10="tak",1,0)</f>
        <v>0</v>
      </c>
      <c r="L10" s="45" t="s">
        <v>29</v>
      </c>
      <c r="M10" s="47">
        <f t="shared" ref="M10:M15" si="2">IF(L10="tak",1,0)</f>
        <v>0</v>
      </c>
      <c r="N10" s="48"/>
      <c r="O10" s="48"/>
      <c r="P10" s="48"/>
      <c r="Q10" s="48"/>
      <c r="R10" s="18"/>
      <c r="S10" s="18"/>
      <c r="T10" s="18"/>
      <c r="U10" s="18"/>
    </row>
    <row r="11" spans="1:23" ht="22.5" customHeight="1">
      <c r="A11" s="49"/>
      <c r="B11" s="49">
        <v>10001</v>
      </c>
      <c r="C11" s="49" t="s">
        <v>6</v>
      </c>
      <c r="D11" s="50">
        <v>4</v>
      </c>
      <c r="E11" s="51"/>
      <c r="F11" s="52" t="s">
        <v>30</v>
      </c>
      <c r="G11" s="55" t="s">
        <v>35</v>
      </c>
      <c r="H11" s="50"/>
      <c r="I11" s="53"/>
      <c r="J11" s="51" t="s">
        <v>4</v>
      </c>
      <c r="K11" s="53">
        <f t="shared" si="0"/>
        <v>1</v>
      </c>
      <c r="L11" s="51" t="s">
        <v>4</v>
      </c>
      <c r="M11" s="53">
        <f t="shared" si="2"/>
        <v>1</v>
      </c>
      <c r="N11" s="48"/>
      <c r="O11" s="48"/>
      <c r="P11" s="48"/>
      <c r="Q11" s="48"/>
      <c r="R11" s="18"/>
      <c r="S11" s="18"/>
      <c r="T11" s="18"/>
      <c r="U11" s="18"/>
    </row>
    <row r="12" spans="1:23" ht="22.5" customHeight="1">
      <c r="A12" s="49"/>
      <c r="B12" s="49">
        <v>10002</v>
      </c>
      <c r="C12" s="50" t="s">
        <v>7</v>
      </c>
      <c r="D12" s="50">
        <v>43</v>
      </c>
      <c r="E12" s="51"/>
      <c r="F12" s="52" t="s">
        <v>30</v>
      </c>
      <c r="G12" s="55" t="s">
        <v>37</v>
      </c>
      <c r="H12" s="49"/>
      <c r="I12" s="53"/>
      <c r="J12" s="51" t="s">
        <v>4</v>
      </c>
      <c r="K12" s="53">
        <f t="shared" si="0"/>
        <v>1</v>
      </c>
      <c r="L12" s="51" t="s">
        <v>29</v>
      </c>
      <c r="M12" s="53">
        <f t="shared" si="2"/>
        <v>0</v>
      </c>
      <c r="N12" s="48"/>
      <c r="O12" s="48"/>
      <c r="P12" s="48"/>
      <c r="Q12" s="48"/>
      <c r="R12" s="18"/>
      <c r="S12" s="18"/>
      <c r="T12" s="18"/>
      <c r="U12" s="18"/>
    </row>
    <row r="13" spans="1:23" ht="22.5" customHeight="1">
      <c r="A13" s="49"/>
      <c r="B13" s="49">
        <v>10003</v>
      </c>
      <c r="C13" s="50" t="s">
        <v>8</v>
      </c>
      <c r="D13" s="50">
        <v>8</v>
      </c>
      <c r="E13" s="51"/>
      <c r="F13" s="52" t="s">
        <v>30</v>
      </c>
      <c r="G13" s="55" t="s">
        <v>36</v>
      </c>
      <c r="H13" s="49"/>
      <c r="I13" s="53"/>
      <c r="J13" s="51" t="s">
        <v>4</v>
      </c>
      <c r="K13" s="53">
        <f t="shared" si="0"/>
        <v>1</v>
      </c>
      <c r="L13" s="51" t="s">
        <v>4</v>
      </c>
      <c r="M13" s="53">
        <f t="shared" si="2"/>
        <v>1</v>
      </c>
      <c r="N13" s="48"/>
      <c r="O13" s="48"/>
      <c r="P13" s="48"/>
      <c r="Q13" s="48"/>
      <c r="R13" s="18"/>
      <c r="S13" s="18"/>
      <c r="T13" s="18"/>
      <c r="U13" s="18"/>
    </row>
    <row r="14" spans="1:23" ht="22.5" customHeight="1">
      <c r="A14" s="49"/>
      <c r="B14" s="49">
        <v>10004</v>
      </c>
      <c r="C14" s="50" t="s">
        <v>9</v>
      </c>
      <c r="D14" s="50">
        <v>25</v>
      </c>
      <c r="E14" s="51"/>
      <c r="F14" s="52" t="s">
        <v>30</v>
      </c>
      <c r="G14" s="55" t="s">
        <v>37</v>
      </c>
      <c r="H14" s="54" t="s">
        <v>42</v>
      </c>
      <c r="I14" s="53"/>
      <c r="J14" s="51" t="s">
        <v>29</v>
      </c>
      <c r="K14" s="53">
        <f t="shared" si="0"/>
        <v>0</v>
      </c>
      <c r="L14" s="51" t="s">
        <v>29</v>
      </c>
      <c r="M14" s="53">
        <f t="shared" si="2"/>
        <v>0</v>
      </c>
      <c r="N14" s="48"/>
      <c r="O14" s="48"/>
      <c r="P14" s="48"/>
      <c r="Q14" s="48"/>
    </row>
    <row r="15" spans="1:23" ht="22.5" customHeight="1">
      <c r="A15" s="49"/>
      <c r="B15" s="49">
        <v>10005</v>
      </c>
      <c r="C15" s="50" t="s">
        <v>10</v>
      </c>
      <c r="D15" s="50">
        <v>16</v>
      </c>
      <c r="E15" s="51"/>
      <c r="F15" s="52" t="s">
        <v>30</v>
      </c>
      <c r="G15" s="55" t="s">
        <v>43</v>
      </c>
      <c r="H15" s="53"/>
      <c r="I15" s="53"/>
      <c r="J15" s="51" t="s">
        <v>29</v>
      </c>
      <c r="K15" s="53">
        <f t="shared" si="0"/>
        <v>0</v>
      </c>
      <c r="L15" s="51" t="s">
        <v>29</v>
      </c>
      <c r="M15" s="53">
        <f t="shared" si="2"/>
        <v>0</v>
      </c>
      <c r="N15" s="48"/>
      <c r="O15" s="48"/>
      <c r="P15" s="48"/>
      <c r="Q15" s="48"/>
    </row>
    <row r="16" spans="1:23" ht="22.5" customHeight="1" thickBot="1">
      <c r="A16" s="58"/>
      <c r="B16" s="58">
        <v>10006</v>
      </c>
      <c r="C16" s="59" t="s">
        <v>44</v>
      </c>
      <c r="D16" s="60">
        <v>110</v>
      </c>
      <c r="E16" s="61"/>
      <c r="F16" s="62" t="s">
        <v>30</v>
      </c>
      <c r="G16" s="56" t="s">
        <v>35</v>
      </c>
      <c r="H16" s="63"/>
      <c r="I16" s="63"/>
      <c r="J16" s="61" t="s">
        <v>29</v>
      </c>
      <c r="K16" s="63">
        <f t="shared" ref="K16" si="3">IF(J16="tak",1,0)</f>
        <v>0</v>
      </c>
      <c r="L16" s="61" t="s">
        <v>29</v>
      </c>
      <c r="M16" s="63">
        <f t="shared" ref="M16" si="4">IF(L16="tak",1,0)</f>
        <v>0</v>
      </c>
      <c r="N16" s="64"/>
      <c r="O16" s="64"/>
      <c r="P16" s="64"/>
      <c r="Q16" s="64"/>
    </row>
    <row r="17" spans="1:13" ht="22.5" customHeight="1">
      <c r="A17" s="17"/>
      <c r="B17" s="17"/>
      <c r="C17" s="17"/>
      <c r="D17" s="17"/>
      <c r="E17" s="12"/>
      <c r="F17" s="19" t="s">
        <v>30</v>
      </c>
      <c r="G17" s="12"/>
      <c r="H17" s="13"/>
      <c r="I17" s="13"/>
      <c r="J17" s="17"/>
      <c r="K17" s="13"/>
      <c r="L17" s="17"/>
      <c r="M17" s="57"/>
    </row>
    <row r="18" spans="1:13" ht="22.5" customHeight="1">
      <c r="A18" s="9"/>
      <c r="B18" s="9"/>
      <c r="C18" s="9"/>
      <c r="D18" s="9"/>
      <c r="E18" s="8"/>
      <c r="F18" s="10" t="s">
        <v>30</v>
      </c>
      <c r="G18" s="8"/>
      <c r="H18" s="11"/>
      <c r="I18" s="11"/>
      <c r="J18" s="9"/>
      <c r="K18" s="11"/>
      <c r="L18" s="9"/>
      <c r="M18" s="2"/>
    </row>
    <row r="19" spans="1:13" ht="22.5" customHeight="1">
      <c r="A19" s="9"/>
      <c r="B19" s="9"/>
      <c r="C19" s="9"/>
      <c r="D19" s="9"/>
      <c r="E19" s="8"/>
      <c r="F19" s="10" t="s">
        <v>30</v>
      </c>
      <c r="G19" s="8"/>
      <c r="H19" s="11"/>
      <c r="I19" s="11"/>
      <c r="J19" s="9"/>
      <c r="K19" s="11"/>
      <c r="L19" s="9"/>
      <c r="M19" s="2"/>
    </row>
    <row r="20" spans="1:13" ht="22.5" customHeight="1">
      <c r="A20" s="9"/>
      <c r="B20" s="9"/>
      <c r="C20" s="9"/>
      <c r="D20" s="9"/>
      <c r="E20" s="8"/>
      <c r="F20" s="10" t="s">
        <v>30</v>
      </c>
      <c r="G20" s="8"/>
      <c r="H20" s="11"/>
      <c r="I20" s="11"/>
      <c r="J20" s="9"/>
      <c r="K20" s="11"/>
      <c r="L20" s="9"/>
      <c r="M20" s="2"/>
    </row>
    <row r="21" spans="1:13" ht="22.5" customHeight="1">
      <c r="A21" s="9"/>
      <c r="B21" s="9"/>
      <c r="C21" s="9"/>
      <c r="D21" s="9"/>
      <c r="E21" s="8"/>
      <c r="F21" s="10" t="s">
        <v>30</v>
      </c>
      <c r="G21" s="8"/>
      <c r="H21" s="11"/>
      <c r="I21" s="11"/>
      <c r="J21" s="9"/>
      <c r="K21" s="11"/>
      <c r="L21" s="9"/>
      <c r="M21" s="2"/>
    </row>
    <row r="22" spans="1:13" ht="22.5" customHeight="1">
      <c r="A22" s="9"/>
      <c r="B22" s="9"/>
      <c r="C22" s="9"/>
      <c r="D22" s="9"/>
      <c r="E22" s="8"/>
      <c r="F22" s="10" t="s">
        <v>30</v>
      </c>
      <c r="G22" s="8"/>
      <c r="H22" s="11"/>
      <c r="I22" s="11"/>
      <c r="J22" s="9"/>
      <c r="K22" s="11"/>
      <c r="L22" s="9"/>
      <c r="M22" s="2"/>
    </row>
    <row r="23" spans="1:13" ht="22.5" customHeight="1">
      <c r="A23" s="9"/>
      <c r="B23" s="9"/>
      <c r="C23" s="9"/>
      <c r="D23" s="9"/>
      <c r="E23" s="8"/>
      <c r="F23" s="10" t="s">
        <v>30</v>
      </c>
      <c r="G23" s="8"/>
      <c r="H23" s="11"/>
      <c r="I23" s="11"/>
      <c r="J23" s="9"/>
      <c r="K23" s="11"/>
      <c r="L23" s="9"/>
      <c r="M23" s="2"/>
    </row>
    <row r="24" spans="1:13" ht="22.5" customHeight="1">
      <c r="A24" s="2"/>
      <c r="B24" s="2"/>
      <c r="C24" s="2"/>
      <c r="D24" s="2"/>
      <c r="E24" s="3"/>
      <c r="F24" s="10" t="s">
        <v>30</v>
      </c>
      <c r="G24" s="3"/>
      <c r="H24" s="4"/>
      <c r="I24" s="4"/>
      <c r="J24" s="2"/>
      <c r="K24" s="4"/>
      <c r="L24" s="2"/>
      <c r="M24" s="2"/>
    </row>
    <row r="25" spans="1:13" ht="22.5" customHeight="1">
      <c r="A25" s="2"/>
      <c r="B25" s="2"/>
      <c r="C25" s="2"/>
      <c r="D25" s="2"/>
      <c r="E25" s="3"/>
      <c r="F25" s="10" t="s">
        <v>30</v>
      </c>
      <c r="G25" s="3"/>
      <c r="H25" s="4"/>
      <c r="I25" s="4"/>
      <c r="J25" s="2"/>
      <c r="K25" s="4"/>
      <c r="L25" s="2"/>
      <c r="M25" s="2"/>
    </row>
    <row r="26" spans="1:13" ht="22.5" customHeight="1">
      <c r="A26" s="2"/>
      <c r="B26" s="2"/>
      <c r="C26" s="2"/>
      <c r="D26" s="2"/>
      <c r="E26" s="3"/>
      <c r="F26" s="10" t="s">
        <v>30</v>
      </c>
      <c r="G26" s="3"/>
      <c r="H26" s="4"/>
      <c r="I26" s="4"/>
      <c r="J26" s="2"/>
      <c r="K26" s="4"/>
      <c r="L26" s="2"/>
      <c r="M26" s="2"/>
    </row>
    <row r="27" spans="1:13" ht="22.5" customHeight="1">
      <c r="A27" s="2"/>
      <c r="B27" s="2"/>
      <c r="C27" s="2"/>
      <c r="D27" s="2"/>
      <c r="E27" s="3"/>
      <c r="F27" s="10" t="s">
        <v>30</v>
      </c>
      <c r="G27" s="3"/>
      <c r="H27" s="4"/>
      <c r="I27" s="4"/>
      <c r="J27" s="2"/>
      <c r="K27" s="4"/>
      <c r="L27" s="2"/>
      <c r="M27" s="2"/>
    </row>
    <row r="28" spans="1:13" ht="22.5" customHeight="1">
      <c r="A28" s="2"/>
      <c r="B28" s="2"/>
      <c r="C28" s="2"/>
      <c r="D28" s="2"/>
      <c r="E28" s="3"/>
      <c r="F28" s="10" t="s">
        <v>30</v>
      </c>
      <c r="G28" s="3"/>
      <c r="H28" s="4"/>
      <c r="I28" s="4"/>
      <c r="J28" s="2"/>
      <c r="K28" s="4"/>
      <c r="L28" s="2"/>
      <c r="M28" s="2"/>
    </row>
    <row r="29" spans="1:13" ht="22.5" customHeight="1">
      <c r="A29" s="2"/>
      <c r="B29" s="2"/>
      <c r="C29" s="2"/>
      <c r="D29" s="2"/>
      <c r="E29" s="3"/>
      <c r="F29" s="10" t="s">
        <v>30</v>
      </c>
      <c r="G29" s="3"/>
      <c r="H29" s="4"/>
      <c r="I29" s="4"/>
      <c r="J29" s="2"/>
      <c r="K29" s="4"/>
      <c r="L29" s="2"/>
      <c r="M29" s="2"/>
    </row>
    <row r="30" spans="1:13" ht="22.5" customHeight="1">
      <c r="A30" s="2"/>
      <c r="B30" s="2"/>
      <c r="C30" s="2"/>
      <c r="D30" s="2"/>
      <c r="E30" s="3"/>
      <c r="F30" s="10" t="s">
        <v>30</v>
      </c>
      <c r="G30" s="3"/>
      <c r="H30" s="4"/>
      <c r="I30" s="4"/>
      <c r="J30" s="2"/>
      <c r="K30" s="4"/>
      <c r="L30" s="2"/>
      <c r="M30" s="2"/>
    </row>
    <row r="31" spans="1:13" ht="22.5" customHeight="1">
      <c r="A31" s="2"/>
      <c r="B31" s="2"/>
      <c r="C31" s="2"/>
      <c r="D31" s="2"/>
      <c r="E31" s="3"/>
      <c r="F31" s="10" t="s">
        <v>30</v>
      </c>
      <c r="G31" s="3"/>
      <c r="H31" s="4"/>
      <c r="I31" s="4"/>
      <c r="J31" s="2"/>
      <c r="K31" s="4"/>
      <c r="L31" s="2"/>
      <c r="M31" s="2"/>
    </row>
    <row r="32" spans="1:13" ht="22.5" customHeight="1">
      <c r="A32" s="2"/>
      <c r="B32" s="2"/>
      <c r="C32" s="2"/>
      <c r="D32" s="2"/>
      <c r="E32" s="3"/>
      <c r="F32" s="10" t="s">
        <v>30</v>
      </c>
      <c r="G32" s="3"/>
      <c r="H32" s="4"/>
      <c r="I32" s="4"/>
      <c r="J32" s="2"/>
      <c r="K32" s="4"/>
      <c r="L32" s="2"/>
      <c r="M32" s="2"/>
    </row>
    <row r="33" spans="1:13" ht="22.5" customHeight="1">
      <c r="A33" s="2"/>
      <c r="B33" s="2"/>
      <c r="C33" s="2"/>
      <c r="D33" s="2"/>
      <c r="E33" s="3"/>
      <c r="F33" s="10" t="s">
        <v>30</v>
      </c>
      <c r="G33" s="3"/>
      <c r="H33" s="4"/>
      <c r="I33" s="4"/>
      <c r="J33" s="2"/>
      <c r="K33" s="4"/>
      <c r="L33" s="2"/>
      <c r="M33" s="2"/>
    </row>
    <row r="83" spans="2:3" ht="22.5" customHeight="1">
      <c r="B83" s="6"/>
      <c r="C83" s="5">
        <f>SUM(C2:C82)</f>
        <v>0</v>
      </c>
    </row>
  </sheetData>
  <mergeCells count="3">
    <mergeCell ref="J2:K2"/>
    <mergeCell ref="L2:M2"/>
    <mergeCell ref="B1:H1"/>
  </mergeCells>
  <conditionalFormatting sqref="H1:I1">
    <cfRule type="iconSet" priority="68">
      <iconSet iconSet="3Symbols2">
        <cfvo type="percent" val="0"/>
        <cfvo type="percent" val="33"/>
        <cfvo type="percent" val="67"/>
      </iconSet>
    </cfRule>
  </conditionalFormatting>
  <conditionalFormatting sqref="H15:H33 I2:I33 H2:H3">
    <cfRule type="iconSet" priority="71">
      <iconSet>
        <cfvo type="percent" val="0"/>
        <cfvo type="percent" val="33"/>
        <cfvo type="percent" val="67"/>
      </iconSet>
    </cfRule>
  </conditionalFormatting>
  <conditionalFormatting sqref="H15:H33 I2:I33 H2:H3">
    <cfRule type="iconSet" priority="72">
      <iconSet iconSet="3Symbols2">
        <cfvo type="percent" val="0"/>
        <cfvo type="percent" val="33"/>
        <cfvo type="percent" val="67"/>
      </iconSet>
    </cfRule>
  </conditionalFormatting>
  <conditionalFormatting sqref="L3:L16">
    <cfRule type="iconSet" priority="66">
      <iconSet>
        <cfvo type="percent" val="0"/>
        <cfvo type="percent" val="33"/>
        <cfvo type="percent" val="67"/>
      </iconSet>
    </cfRule>
  </conditionalFormatting>
  <conditionalFormatting sqref="L3:L16">
    <cfRule type="iconSet" priority="65">
      <iconSet iconSet="3Symbols2">
        <cfvo type="percent" val="0"/>
        <cfvo type="percent" val="33"/>
        <cfvo type="percent" val="67"/>
      </iconSet>
    </cfRule>
  </conditionalFormatting>
  <conditionalFormatting sqref="M3:M16">
    <cfRule type="iconSet" priority="64">
      <iconSet>
        <cfvo type="percent" val="0"/>
        <cfvo type="percent" val="33"/>
        <cfvo type="percent" val="67"/>
      </iconSet>
    </cfRule>
  </conditionalFormatting>
  <conditionalFormatting sqref="M3:M16">
    <cfRule type="iconSet" priority="63">
      <iconSet iconSet="3Symbols2">
        <cfvo type="percent" val="0"/>
        <cfvo type="percent" val="33"/>
        <cfvo type="percent" val="67"/>
      </iconSet>
    </cfRule>
  </conditionalFormatting>
  <conditionalFormatting sqref="M3:M4">
    <cfRule type="iconSet" priority="60">
      <iconSet>
        <cfvo type="percent" val="0"/>
        <cfvo type="percent" val="33"/>
        <cfvo type="percent" val="67"/>
      </iconSet>
    </cfRule>
  </conditionalFormatting>
  <conditionalFormatting sqref="M3:M4">
    <cfRule type="iconSet" priority="59">
      <iconSet iconSet="3Symbols2">
        <cfvo type="percent" val="0"/>
        <cfvo type="percent" val="33"/>
        <cfvo type="percent" val="67"/>
      </iconSet>
    </cfRule>
  </conditionalFormatting>
  <conditionalFormatting sqref="K3:K16">
    <cfRule type="iconSet" priority="38">
      <iconSet>
        <cfvo type="percent" val="0"/>
        <cfvo type="percent" val="33"/>
        <cfvo type="percent" val="67"/>
      </iconSet>
    </cfRule>
  </conditionalFormatting>
  <conditionalFormatting sqref="K3:K16">
    <cfRule type="iconSet" priority="37">
      <iconSet iconSet="3Symbols2">
        <cfvo type="percent" val="0"/>
        <cfvo type="percent" val="33"/>
        <cfvo type="percent" val="67"/>
      </iconSet>
    </cfRule>
  </conditionalFormatting>
  <conditionalFormatting sqref="K3:K4">
    <cfRule type="iconSet" priority="36">
      <iconSet>
        <cfvo type="percent" val="0"/>
        <cfvo type="percent" val="33"/>
        <cfvo type="percent" val="67"/>
      </iconSet>
    </cfRule>
  </conditionalFormatting>
  <conditionalFormatting sqref="K3:K4">
    <cfRule type="iconSet" priority="35">
      <iconSet iconSet="3Symbols2">
        <cfvo type="percent" val="0"/>
        <cfvo type="percent" val="33"/>
        <cfvo type="percent" val="67"/>
      </iconSet>
    </cfRule>
  </conditionalFormatting>
  <conditionalFormatting sqref="J4:J16">
    <cfRule type="iconSet" priority="24">
      <iconSet>
        <cfvo type="percent" val="0"/>
        <cfvo type="percent" val="33"/>
        <cfvo type="percent" val="67"/>
      </iconSet>
    </cfRule>
  </conditionalFormatting>
  <conditionalFormatting sqref="J4:J16">
    <cfRule type="iconSet" priority="23">
      <iconSet iconSet="3Symbols2">
        <cfvo type="percent" val="0"/>
        <cfvo type="percent" val="33"/>
        <cfvo type="percent" val="67"/>
      </iconSet>
    </cfRule>
  </conditionalFormatting>
  <conditionalFormatting sqref="J3:J16">
    <cfRule type="iconSet" priority="22">
      <iconSet>
        <cfvo type="percent" val="0"/>
        <cfvo type="percent" val="33"/>
        <cfvo type="percent" val="67"/>
      </iconSet>
    </cfRule>
  </conditionalFormatting>
  <conditionalFormatting sqref="J3:J16">
    <cfRule type="iconSet" priority="21">
      <iconSet iconSet="3Symbols2">
        <cfvo type="percent" val="0"/>
        <cfvo type="percent" val="33"/>
        <cfvo type="percent" val="67"/>
      </iconSet>
    </cfRule>
  </conditionalFormatting>
  <conditionalFormatting sqref="G2:G33">
    <cfRule type="iconSet" priority="157">
      <iconSet>
        <cfvo type="percent" val="0"/>
        <cfvo type="percent" val="33"/>
        <cfvo type="percent" val="67"/>
      </iconSet>
    </cfRule>
  </conditionalFormatting>
  <conditionalFormatting sqref="G2:G33">
    <cfRule type="iconSet" priority="158">
      <iconSet iconSet="3Symbols2">
        <cfvo type="percent" val="0"/>
        <cfvo type="percent" val="33"/>
        <cfvo type="percent" val="67"/>
      </iconSet>
    </cfRule>
  </conditionalFormatting>
  <conditionalFormatting sqref="G2:G32">
    <cfRule type="iconSet" priority="159">
      <iconSet>
        <cfvo type="percent" val="0"/>
        <cfvo type="percent" val="33"/>
        <cfvo type="percent" val="67"/>
      </iconSet>
    </cfRule>
  </conditionalFormatting>
  <conditionalFormatting sqref="G2:G32">
    <cfRule type="iconSet" priority="160">
      <iconSet iconSet="3Symbols2">
        <cfvo type="percent" val="0"/>
        <cfvo type="percent" val="33"/>
        <cfvo type="percent" val="67"/>
      </iconSet>
    </cfRule>
  </conditionalFormatting>
  <conditionalFormatting sqref="F2:F33">
    <cfRule type="iconSet" priority="161">
      <iconSet>
        <cfvo type="percent" val="0"/>
        <cfvo type="percent" val="33"/>
        <cfvo type="percent" val="67"/>
      </iconSet>
    </cfRule>
  </conditionalFormatting>
  <conditionalFormatting sqref="F2:F33">
    <cfRule type="iconSet" priority="162">
      <iconSet iconSet="3Symbols2">
        <cfvo type="percent" val="0"/>
        <cfvo type="percent" val="33"/>
        <cfvo type="percent" val="67"/>
      </iconSet>
    </cfRule>
  </conditionalFormatting>
  <conditionalFormatting sqref="E2:E33">
    <cfRule type="iconSet" priority="163">
      <iconSet>
        <cfvo type="percent" val="0"/>
        <cfvo type="percent" val="33"/>
        <cfvo type="percent" val="67"/>
      </iconSet>
    </cfRule>
  </conditionalFormatting>
  <conditionalFormatting sqref="E2:E33">
    <cfRule type="iconSet" priority="164">
      <iconSet iconSet="3Symbols2">
        <cfvo type="percent" val="0"/>
        <cfvo type="percent" val="33"/>
        <cfvo type="percent" val="67"/>
      </iconSet>
    </cfRule>
  </conditionalFormatting>
  <conditionalFormatting sqref="E2:E32">
    <cfRule type="iconSet" priority="165">
      <iconSet>
        <cfvo type="percent" val="0"/>
        <cfvo type="percent" val="33"/>
        <cfvo type="percent" val="67"/>
      </iconSet>
    </cfRule>
  </conditionalFormatting>
  <conditionalFormatting sqref="E2:E32">
    <cfRule type="iconSet" priority="166">
      <iconSet iconSet="3Symbols2">
        <cfvo type="percent" val="0"/>
        <cfvo type="percent" val="33"/>
        <cfvo type="percent" val="67"/>
      </iconSet>
    </cfRule>
  </conditionalFormatting>
  <conditionalFormatting sqref="M3:M9">
    <cfRule type="iconSet" priority="8">
      <iconSet>
        <cfvo type="percent" val="0"/>
        <cfvo type="percent" val="33"/>
        <cfvo type="percent" val="67"/>
      </iconSet>
    </cfRule>
  </conditionalFormatting>
  <conditionalFormatting sqref="M3:M9">
    <cfRule type="iconSet" priority="7">
      <iconSet iconSet="3Symbols2">
        <cfvo type="percent" val="0"/>
        <cfvo type="percent" val="33"/>
        <cfvo type="percent" val="67"/>
      </iconSet>
    </cfRule>
  </conditionalFormatting>
  <conditionalFormatting sqref="M3:M4">
    <cfRule type="iconSet" priority="6">
      <iconSet>
        <cfvo type="percent" val="0"/>
        <cfvo type="percent" val="33"/>
        <cfvo type="percent" val="67"/>
      </iconSet>
    </cfRule>
  </conditionalFormatting>
  <conditionalFormatting sqref="M3:M4">
    <cfRule type="iconSet" priority="5">
      <iconSet iconSet="3Symbols2">
        <cfvo type="percent" val="0"/>
        <cfvo type="percent" val="33"/>
        <cfvo type="percent" val="67"/>
      </iconSet>
    </cfRule>
  </conditionalFormatting>
  <conditionalFormatting sqref="L4:L9">
    <cfRule type="iconSet" priority="4">
      <iconSet>
        <cfvo type="percent" val="0"/>
        <cfvo type="percent" val="33"/>
        <cfvo type="percent" val="67"/>
      </iconSet>
    </cfRule>
  </conditionalFormatting>
  <conditionalFormatting sqref="L4:L9">
    <cfRule type="iconSet" priority="3">
      <iconSet iconSet="3Symbols2">
        <cfvo type="percent" val="0"/>
        <cfvo type="percent" val="33"/>
        <cfvo type="percent" val="67"/>
      </iconSet>
    </cfRule>
  </conditionalFormatting>
  <conditionalFormatting sqref="L3:L9">
    <cfRule type="iconSet" priority="2">
      <iconSet>
        <cfvo type="percent" val="0"/>
        <cfvo type="percent" val="33"/>
        <cfvo type="percent" val="67"/>
      </iconSet>
    </cfRule>
  </conditionalFormatting>
  <conditionalFormatting sqref="L3:L9">
    <cfRule type="iconSet" priority="1">
      <iconSet iconSet="3Symbols2">
        <cfvo type="percent" val="0"/>
        <cfvo type="percent" val="33"/>
        <cfvo type="percent" val="67"/>
      </iconSet>
    </cfRule>
  </conditionalFormatting>
  <pageMargins left="0.78749999999999998" right="0.78749999999999998" top="1.0249999999999999" bottom="1.0249999999999999" header="0.78749999999999998" footer="0.78749999999999998"/>
  <pageSetup paperSize="9" orientation="portrait" useFirstPageNumber="1" horizontalDpi="300" verticalDpi="300" r:id="rId1"/>
  <headerFooter>
    <oddHeader>&amp;C&amp;A</oddHeader>
    <oddFooter>&amp;CStrona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d_lista_1">
                <anchor moveWithCells="1">
                  <from>
                    <xdr:col>15</xdr:col>
                    <xdr:colOff>9525</xdr:colOff>
                    <xdr:row>2</xdr:row>
                    <xdr:rowOff>47625</xdr:rowOff>
                  </from>
                  <to>
                    <xdr:col>15</xdr:col>
                    <xdr:colOff>752475</xdr:colOff>
                    <xdr:row>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yellow_lista_1">
                <anchor moveWithCells="1" sizeWithCells="1">
                  <from>
                    <xdr:col>14</xdr:col>
                    <xdr:colOff>57150</xdr:colOff>
                    <xdr:row>2</xdr:row>
                    <xdr:rowOff>47625</xdr:rowOff>
                  </from>
                  <to>
                    <xdr:col>14</xdr:col>
                    <xdr:colOff>923925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green_lista_1">
                <anchor moveWithCells="1" sizeWithCells="1">
                  <from>
                    <xdr:col>13</xdr:col>
                    <xdr:colOff>76200</xdr:colOff>
                    <xdr:row>2</xdr:row>
                    <xdr:rowOff>38100</xdr:rowOff>
                  </from>
                  <to>
                    <xdr:col>13</xdr:col>
                    <xdr:colOff>800100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7" name="Button 41">
              <controlPr defaultSize="0" print="0" autoFill="0" autoPict="0" macro="[0]!red_lista_2">
                <anchor moveWithCells="1">
                  <from>
                    <xdr:col>15</xdr:col>
                    <xdr:colOff>9525</xdr:colOff>
                    <xdr:row>9</xdr:row>
                    <xdr:rowOff>47625</xdr:rowOff>
                  </from>
                  <to>
                    <xdr:col>15</xdr:col>
                    <xdr:colOff>752475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8" name="Button 42">
              <controlPr defaultSize="0" print="0" autoFill="0" autoPict="0" macro="[0]!Yellow_Lista2">
                <anchor moveWithCells="1" sizeWithCells="1">
                  <from>
                    <xdr:col>14</xdr:col>
                    <xdr:colOff>57150</xdr:colOff>
                    <xdr:row>9</xdr:row>
                    <xdr:rowOff>47625</xdr:rowOff>
                  </from>
                  <to>
                    <xdr:col>14</xdr:col>
                    <xdr:colOff>923925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9" name="Button 43">
              <controlPr defaultSize="0" print="0" autoFill="0" autoPict="0" macro="[0]!green_lista2">
                <anchor moveWithCells="1" sizeWithCells="1">
                  <from>
                    <xdr:col>13</xdr:col>
                    <xdr:colOff>76200</xdr:colOff>
                    <xdr:row>9</xdr:row>
                    <xdr:rowOff>38100</xdr:rowOff>
                  </from>
                  <to>
                    <xdr:col>13</xdr:col>
                    <xdr:colOff>800100</xdr:colOff>
                    <xdr:row>9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25621-3BA4-4C14-B62D-E03903B8EF65}">
  <sheetPr codeName="Arkusz2"/>
  <dimension ref="A1"/>
  <sheetViews>
    <sheetView workbookViewId="0">
      <selection activeCell="D20" sqref="D20"/>
    </sheetView>
  </sheetViews>
  <sheetFormatPr defaultRowHeight="12.7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30186</TotalTime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Arkusz1</vt:lpstr>
      <vt:lpstr>Arkusz2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Patrycja</dc:creator>
  <cp:lastModifiedBy>Patrycja</cp:lastModifiedBy>
  <cp:revision>768</cp:revision>
  <dcterms:created xsi:type="dcterms:W3CDTF">2017-08-17T14:44:15Z</dcterms:created>
  <dcterms:modified xsi:type="dcterms:W3CDTF">2020-01-09T18:35:06Z</dcterms:modified>
  <dc:language>pl-PL</dc:language>
</cp:coreProperties>
</file>